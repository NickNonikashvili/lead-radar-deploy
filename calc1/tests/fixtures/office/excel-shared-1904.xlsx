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1"/>
  </bookViews>
  <sheets>
    <sheet name="Data" sheetId="1" r:id="rId1"/>
    <sheet name="Sum's &amp; more" sheetId="2" r:id="rId2"/>
  </sheets>
  <calcPr calcId="191029" fullCalcOnLoad="1"/>
</workbook>
</file>

<file path=xl/sharedStrings.xml><?xml version="1.0" encoding="utf-8"?>
<sst xmlns="http://schemas.openxmlformats.org/spreadsheetml/2006/main" count="10" uniqueCount="10">
  <si>
    <t>Length (m)</t>
  </si>
  <si>
    <t>Period (s)</t>
  </si>
  <si>
    <t>note with "quotes" &amp; &lt;tags&gt;</t>
  </si>
  <si>
    <t>Slope</t>
  </si>
  <si>
    <t>Mean</t>
  </si>
  <si>
    <t>Stdev</t>
  </si>
  <si>
    <t>Share</t>
  </si>
  <si>
    <t>Cost</t>
  </si>
  <si>
    <t>When</t>
  </si>
  <si>
    <t>007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</si>
</sst>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rgb="FFC0392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59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.29" customWidth="1"/>
    <col min="2" max="2" width="12.14" customWidth="1"/>
  </cols>
  <sheetData>
    <row r="1" ht="22.50" customHeight="1">
      <c r="A1" s="1" t="s">
        <v>0</v>
      </c>
      <c r="B1" s="2" t="s">
        <v>1</v>
      </c>
      <c r="C1" s="3" t="s">
        <v>2</v>
      </c>
    </row>
    <row r="2">
      <c r="A2" s="0">
        <v>0.2</v>
      </c>
      <c r="B2" s="0">
        <v>0.9</v>
      </c>
      <c r="D2">
        <f t="shared" ref="D2:D5" si="0">A2*2+$B$2</f>
        <v>0</v>
      </c>
    </row>
    <row r="3">
      <c r="A3" s="0">
        <v>0.4</v>
      </c>
      <c r="B3" s="0">
        <v>1.27</v>
      </c>
      <c r="D3">
        <f t="shared" si="0"/>
        <v>0</v>
      </c>
    </row>
    <row r="4">
      <c r="A4" s="0">
        <v>0.6</v>
      </c>
      <c r="B4" s="0">
        <v>1.55</v>
      </c>
      <c r="D4">
        <f t="shared" si="0"/>
        <v>0</v>
      </c>
    </row>
    <row r="5">
      <c r="A5" s="0">
        <v>0.8</v>
      </c>
      <c r="B5" s="0">
        <v>1.79</v>
      </c>
      <c r="D5">
        <f t="shared" si="0"/>
        <v>0</v>
      </c>
    </row>
    <row r="7">
      <c r="A7" s="0" t="s">
        <v>3</v>
      </c>
      <c r="B7" s="4">
        <f>SLOPE(B2:B5,A2:A5)</f>
        <v>1.475</v>
      </c>
    </row>
    <row r="8">
      <c r="A8" s="0" t="s">
        <v>4</v>
      </c>
      <c r="B8" s="0">
        <f>AVERAGE(B2:B5)</f>
        <v>1.3775</v>
      </c>
    </row>
    <row r="9">
      <c r="A9" s="0" t="s">
        <v>5</v>
      </c>
      <c r="B9" s="0">
        <f>_xlfn.STDEV.S(B2:B5)</f>
        <v>0.3827422979847755</v>
      </c>
    </row>
    <row r="10">
      <c r="A10" s="0" t="s">
        <v>6</v>
      </c>
      <c r="B10" s="5">
        <f>B2/B5</f>
        <v>0.5027932960893855</v>
      </c>
    </row>
    <row r="11">
      <c r="A11" s="0" t="s">
        <v>7</v>
      </c>
      <c r="B11" s="6">
        <v>1234.5</v>
      </c>
    </row>
    <row r="12">
      <c r="A12" s="0" t="s">
        <v>8</v>
      </c>
      <c r="B12" s="7">
        <v>46321</v>
      </c>
    </row>
    <row r="13">
      <c r="A13" s="0" t="s">
        <v>9</v>
      </c>
      <c r="B13" s="0" t="b">
        <v>1</v>
      </c>
    </row>
    <row r="14">
      <c r="A14" s="0" t="e">
        <f>1/0</f>
        <v>#DIV/0!</v>
      </c>
      <c r="B14" s="0" t="str">
        <f>A2&amp;" m"</f>
        <v>0.2 m</v>
      </c>
    </row>
    <row r="15">
      <c r="A15" s="0" t="b">
        <f>B13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 tabSelected="1"/>
  </sheetViews>
  <sheetFormatPr defaultRowHeight="15"/>
  <sheetData>
    <row r="1">
      <c r="A1" s="0">
        <f>SUM(Data!B2:B5)</f>
        <v>5.51</v>
      </c>
    </row>
    <row r="2">
      <c r="A2" s="0">
        <f>'Sum''s &amp; more'!A1*2</f>
        <v>11.02</v>
      </c>
    </row>
    <row r="3">
      <c r="A3" s="0" t="str">
        <f>IF(A2&gt;10,"big","small")</f>
        <v>big</v>
      </c>
    </row>
    <row r="4">
      <c r="A4" s="0">
        <f>VLOOKUP(0.6,Data!A2:B5,2,FALSE)</f>
        <v>1.55</v>
      </c>
    </row>
    <row r="5">
      <c r="A5" s="0">
        <f>ROUND(PI(),3)</f>
        <v>3.142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Mathub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Pendulum data</dc:title>
  <dc:creator>Mathub</dc:creator>
  <dcterms:created xsi:type="dcterms:W3CDTF">2026-10-26T22:59:48Z</dcterms:created>
  <dcterms:modified xsi:type="dcterms:W3CDTF">2026-10-26T22:59:48Z</dcterms:modified>
</cp:coreProperties>
</file>